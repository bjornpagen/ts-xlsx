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xlsb-analysis-toolpak-and-2007-functions\"/>
    </mc:Choice>
  </mc:AlternateContent>
  <xr:revisionPtr revIDLastSave="0" documentId="8_{139C7588-CA49-4EEC-A302-294DCA56740C}" xr6:coauthVersionLast="47" xr6:coauthVersionMax="47" xr10:uidLastSave="{00000000-0000-0000-0000-000000000000}"/>
  <bookViews>
    <workbookView xWindow="2660" yWindow="1090" windowWidth="14620" windowHeight="10910" xr2:uid="{D47E35C6-389D-42D7-8384-73244E8FFD1D}"/>
  </bookViews>
  <sheets>
    <sheet name="Calc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9" i="1" l="1"/>
  <c r="C108" i="1"/>
  <c r="C107" i="1"/>
  <c r="C106" i="1"/>
  <c r="C105" i="1"/>
  <c r="C104" i="1"/>
  <c r="C103" i="1"/>
  <c r="C102" i="1"/>
  <c r="C101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3" i="1"/>
  <c r="C1" i="1"/>
  <c r="C4" i="1"/>
  <c r="C2" i="1"/>
  <c r="C99" i="1"/>
  <c r="C100" i="1"/>
  <c r="C9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1">
      <tp t="e">
        <v>#N/A</v>
        <stp>1</stp>
        <tr r="C98" s="1"/>
        <tr r="C99" s="1"/>
        <tr r="C2" s="1"/>
        <tr r="C4" s="1"/>
        <tr r="C1" s="1"/>
        <tr r="C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volatileDependencies" Target="volatileDependencies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B083-9791-4F39-9504-E71DC314BF44}">
  <dimension ref="A1:C109"/>
  <sheetViews>
    <sheetView tabSelected="1" workbookViewId="0"/>
  </sheetViews>
  <sheetFormatPr defaultRowHeight="14.5" x14ac:dyDescent="0.35"/>
  <sheetData>
    <row r="1" spans="1:3" x14ac:dyDescent="0.35">
      <c r="A1">
        <v>1</v>
      </c>
      <c r="C1" t="e">
        <f>CUBEVALUE(1)</f>
        <v>#N/A</v>
      </c>
    </row>
    <row r="2" spans="1:3" x14ac:dyDescent="0.35">
      <c r="A2">
        <v>2</v>
      </c>
      <c r="C2" t="e">
        <f>CUBEMEMBER(1,1)</f>
        <v>#N/A</v>
      </c>
    </row>
    <row r="3" spans="1:3" x14ac:dyDescent="0.35">
      <c r="A3">
        <v>3</v>
      </c>
      <c r="C3" t="e">
        <f>CUBEMEMBERPROPERTY(1,1,1)</f>
        <v>#N/A</v>
      </c>
    </row>
    <row r="4" spans="1:3" x14ac:dyDescent="0.35">
      <c r="A4">
        <v>4</v>
      </c>
      <c r="C4" t="e">
        <f>CUBERANKEDMEMBER(1,1,1)</f>
        <v>#N/A</v>
      </c>
    </row>
    <row r="5" spans="1:3" x14ac:dyDescent="0.35">
      <c r="A5">
        <v>5</v>
      </c>
      <c r="C5" t="str">
        <f>HEX2BIN(1)</f>
        <v>1</v>
      </c>
    </row>
    <row r="6" spans="1:3" x14ac:dyDescent="0.35">
      <c r="C6">
        <f>HEX2DEC(1)</f>
        <v>1</v>
      </c>
    </row>
    <row r="7" spans="1:3" x14ac:dyDescent="0.35">
      <c r="C7" t="str">
        <f>HEX2OCT(1)</f>
        <v>1</v>
      </c>
    </row>
    <row r="8" spans="1:3" x14ac:dyDescent="0.35">
      <c r="C8" t="str">
        <f>DEC2BIN(1)</f>
        <v>1</v>
      </c>
    </row>
    <row r="9" spans="1:3" x14ac:dyDescent="0.35">
      <c r="C9" t="str">
        <f>DEC2HEX(1)</f>
        <v>1</v>
      </c>
    </row>
    <row r="10" spans="1:3" x14ac:dyDescent="0.35">
      <c r="C10" t="str">
        <f>DEC2OCT(1)</f>
        <v>1</v>
      </c>
    </row>
    <row r="11" spans="1:3" x14ac:dyDescent="0.35">
      <c r="C11" t="str">
        <f>OCT2BIN(1)</f>
        <v>1</v>
      </c>
    </row>
    <row r="12" spans="1:3" x14ac:dyDescent="0.35">
      <c r="C12" t="str">
        <f>OCT2HEX(1)</f>
        <v>1</v>
      </c>
    </row>
    <row r="13" spans="1:3" x14ac:dyDescent="0.35">
      <c r="C13">
        <f>OCT2DEC(1)</f>
        <v>1</v>
      </c>
    </row>
    <row r="14" spans="1:3" x14ac:dyDescent="0.35">
      <c r="C14">
        <f>BIN2DEC(1)</f>
        <v>1</v>
      </c>
    </row>
    <row r="15" spans="1:3" x14ac:dyDescent="0.35">
      <c r="C15" t="str">
        <f>BIN2OCT(1)</f>
        <v>1</v>
      </c>
    </row>
    <row r="16" spans="1:3" x14ac:dyDescent="0.35">
      <c r="C16" t="str">
        <f>BIN2HEX(1)</f>
        <v>1</v>
      </c>
    </row>
    <row r="17" spans="3:3" x14ac:dyDescent="0.35">
      <c r="C17" t="str">
        <f>IMSUB(1,1)</f>
        <v>0</v>
      </c>
    </row>
    <row r="18" spans="3:3" x14ac:dyDescent="0.35">
      <c r="C18" t="str">
        <f>IMDIV(1,1)</f>
        <v>1</v>
      </c>
    </row>
    <row r="19" spans="3:3" x14ac:dyDescent="0.35">
      <c r="C19" t="str">
        <f>IMPOWER(1,1)</f>
        <v>1</v>
      </c>
    </row>
    <row r="20" spans="3:3" x14ac:dyDescent="0.35">
      <c r="C20">
        <f>IMABS(1)</f>
        <v>1</v>
      </c>
    </row>
    <row r="21" spans="3:3" x14ac:dyDescent="0.35">
      <c r="C21" t="str">
        <f>IMSQRT(1)</f>
        <v>1</v>
      </c>
    </row>
    <row r="22" spans="3:3" x14ac:dyDescent="0.35">
      <c r="C22" t="str">
        <f>IMLN(1)</f>
        <v>0</v>
      </c>
    </row>
    <row r="23" spans="3:3" x14ac:dyDescent="0.35">
      <c r="C23" t="str">
        <f>IMLOG2(1)</f>
        <v>0</v>
      </c>
    </row>
    <row r="24" spans="3:3" x14ac:dyDescent="0.35">
      <c r="C24" t="str">
        <f>IMLOG10(1)</f>
        <v>0</v>
      </c>
    </row>
    <row r="25" spans="3:3" x14ac:dyDescent="0.35">
      <c r="C25" t="str">
        <f>IMSIN(1)</f>
        <v>0.841470984807897</v>
      </c>
    </row>
    <row r="26" spans="3:3" x14ac:dyDescent="0.35">
      <c r="C26" t="str">
        <f>IMCOS(1)</f>
        <v>0.54030230586814</v>
      </c>
    </row>
    <row r="27" spans="3:3" x14ac:dyDescent="0.35">
      <c r="C27" t="str">
        <f>IMEXP(1)</f>
        <v>2.71828182845905</v>
      </c>
    </row>
    <row r="28" spans="3:3" x14ac:dyDescent="0.35">
      <c r="C28">
        <f>IMARGUMENT(1)</f>
        <v>0</v>
      </c>
    </row>
    <row r="29" spans="3:3" x14ac:dyDescent="0.35">
      <c r="C29" t="str">
        <f>IMCONJUGATE(1)</f>
        <v>1</v>
      </c>
    </row>
    <row r="30" spans="3:3" x14ac:dyDescent="0.35">
      <c r="C30">
        <f>IMAGINARY(1)</f>
        <v>0</v>
      </c>
    </row>
    <row r="31" spans="3:3" x14ac:dyDescent="0.35">
      <c r="C31">
        <f>IMREAL(1)</f>
        <v>1</v>
      </c>
    </row>
    <row r="32" spans="3:3" x14ac:dyDescent="0.35">
      <c r="C32" t="str">
        <f>COMPLEX(1,1)</f>
        <v>1+i</v>
      </c>
    </row>
    <row r="33" spans="3:3" x14ac:dyDescent="0.35">
      <c r="C33" t="str">
        <f>IMSUM(1)</f>
        <v>1</v>
      </c>
    </row>
    <row r="34" spans="3:3" x14ac:dyDescent="0.35">
      <c r="C34" t="str">
        <f>IMPRODUCT(1)</f>
        <v>1</v>
      </c>
    </row>
    <row r="35" spans="3:3" x14ac:dyDescent="0.35">
      <c r="C35">
        <f>SERIESSUM(1,1,1,1)</f>
        <v>1</v>
      </c>
    </row>
    <row r="36" spans="3:3" x14ac:dyDescent="0.35">
      <c r="C36">
        <f>FACTDOUBLE(1)</f>
        <v>1</v>
      </c>
    </row>
    <row r="37" spans="3:3" x14ac:dyDescent="0.35">
      <c r="C37">
        <f>SQRTPI(1)</f>
        <v>1.7724538509055159</v>
      </c>
    </row>
    <row r="38" spans="3:3" x14ac:dyDescent="0.35">
      <c r="C38">
        <f>QUOTIENT(1,1)</f>
        <v>1</v>
      </c>
    </row>
    <row r="39" spans="3:3" x14ac:dyDescent="0.35">
      <c r="C39">
        <f>DELTA(1)</f>
        <v>0</v>
      </c>
    </row>
    <row r="40" spans="3:3" x14ac:dyDescent="0.35">
      <c r="C40">
        <f>GESTEP(1)</f>
        <v>1</v>
      </c>
    </row>
    <row r="41" spans="3:3" x14ac:dyDescent="0.35">
      <c r="C41" t="b">
        <f>ISEVEN(1)</f>
        <v>0</v>
      </c>
    </row>
    <row r="42" spans="3:3" x14ac:dyDescent="0.35">
      <c r="C42" t="b">
        <f>ISODD(1)</f>
        <v>1</v>
      </c>
    </row>
    <row r="43" spans="3:3" x14ac:dyDescent="0.35">
      <c r="C43">
        <f>MROUND(1,1)</f>
        <v>1</v>
      </c>
    </row>
    <row r="44" spans="3:3" x14ac:dyDescent="0.35">
      <c r="C44">
        <f>ERF(1)</f>
        <v>0.84270079294971489</v>
      </c>
    </row>
    <row r="45" spans="3:3" x14ac:dyDescent="0.35">
      <c r="C45">
        <f>ERFC(1)</f>
        <v>0.15729920705028513</v>
      </c>
    </row>
    <row r="46" spans="3:3" x14ac:dyDescent="0.35">
      <c r="C46">
        <f>BESSELJ(1,1)</f>
        <v>0.44005058567713012</v>
      </c>
    </row>
    <row r="47" spans="3:3" x14ac:dyDescent="0.35">
      <c r="C47">
        <f>BESSELK(1,1)</f>
        <v>0.60190723166690574</v>
      </c>
    </row>
    <row r="48" spans="3:3" x14ac:dyDescent="0.35">
      <c r="C48">
        <f>BESSELY(1,1)</f>
        <v>-0.78121282095311972</v>
      </c>
    </row>
    <row r="49" spans="3:3" x14ac:dyDescent="0.35">
      <c r="C49">
        <f>BESSELI(1,1)</f>
        <v>0.56515909758194349</v>
      </c>
    </row>
    <row r="50" spans="3:3" x14ac:dyDescent="0.35">
      <c r="C50" t="e">
        <f>XIRR(1,1)</f>
        <v>#N/A</v>
      </c>
    </row>
    <row r="51" spans="3:3" x14ac:dyDescent="0.35">
      <c r="C51">
        <f>XNPV(1,1,1)</f>
        <v>1</v>
      </c>
    </row>
    <row r="52" spans="3:3" x14ac:dyDescent="0.35">
      <c r="C52" t="e">
        <f>PRICEMAT(1,1,1,1,1)</f>
        <v>#NUM!</v>
      </c>
    </row>
    <row r="53" spans="3:3" x14ac:dyDescent="0.35">
      <c r="C53" t="e">
        <f>YIELDMAT(1,1,1,1,1)</f>
        <v>#NUM!</v>
      </c>
    </row>
    <row r="54" spans="3:3" x14ac:dyDescent="0.35">
      <c r="C54" t="e">
        <f>INTRATE(1,1,1,1)</f>
        <v>#NUM!</v>
      </c>
    </row>
    <row r="55" spans="3:3" x14ac:dyDescent="0.35">
      <c r="C55" t="e">
        <f>RECEIVED(1,1,1,1)</f>
        <v>#NUM!</v>
      </c>
    </row>
    <row r="56" spans="3:3" x14ac:dyDescent="0.35">
      <c r="C56" t="e">
        <f>DISC(1,1,1,1)</f>
        <v>#NUM!</v>
      </c>
    </row>
    <row r="57" spans="3:3" x14ac:dyDescent="0.35">
      <c r="C57" t="e">
        <f>PRICEDISC(1,1,1,1)</f>
        <v>#NUM!</v>
      </c>
    </row>
    <row r="58" spans="3:3" x14ac:dyDescent="0.35">
      <c r="C58" t="e">
        <f>YIELDDISC(1,1,1,1)</f>
        <v>#NUM!</v>
      </c>
    </row>
    <row r="59" spans="3:3" x14ac:dyDescent="0.35">
      <c r="C59" t="e">
        <f>TBILLEQ(1,1,1)</f>
        <v>#NUM!</v>
      </c>
    </row>
    <row r="60" spans="3:3" x14ac:dyDescent="0.35">
      <c r="C60" t="e">
        <f>TBILLPRICE(1,1,1)</f>
        <v>#NUM!</v>
      </c>
    </row>
    <row r="61" spans="3:3" x14ac:dyDescent="0.35">
      <c r="C61" t="e">
        <f>TBILLYIELD(1,1,1)</f>
        <v>#NUM!</v>
      </c>
    </row>
    <row r="62" spans="3:3" x14ac:dyDescent="0.35">
      <c r="C62" t="e">
        <f>PRICE(1,1,1,1,1,1)</f>
        <v>#NUM!</v>
      </c>
    </row>
    <row r="63" spans="3:3" x14ac:dyDescent="0.35">
      <c r="C63" t="e">
        <f>YIELD(1,1,1,1,1,1)</f>
        <v>#NUM!</v>
      </c>
    </row>
    <row r="64" spans="3:3" x14ac:dyDescent="0.35">
      <c r="C64">
        <f>DOLLARDE(1,1)</f>
        <v>1</v>
      </c>
    </row>
    <row r="65" spans="3:3" x14ac:dyDescent="0.35">
      <c r="C65">
        <f>DOLLARFR(1,1)</f>
        <v>1</v>
      </c>
    </row>
    <row r="66" spans="3:3" x14ac:dyDescent="0.35">
      <c r="C66">
        <f>NOMINAL(1,1)</f>
        <v>1</v>
      </c>
    </row>
    <row r="67" spans="3:3" x14ac:dyDescent="0.35">
      <c r="C67">
        <f>EFFECT(1,1)</f>
        <v>1</v>
      </c>
    </row>
    <row r="68" spans="3:3" x14ac:dyDescent="0.35">
      <c r="C68">
        <f>CUMPRINC(1,1,1,1,1,1)</f>
        <v>-1</v>
      </c>
    </row>
    <row r="69" spans="3:3" x14ac:dyDescent="0.35">
      <c r="C69">
        <f>CUMIPMT(1,1,1,1,1,1)</f>
        <v>0</v>
      </c>
    </row>
    <row r="70" spans="3:3" x14ac:dyDescent="0.35">
      <c r="C70">
        <f>EDATE(1,1)</f>
        <v>32</v>
      </c>
    </row>
    <row r="71" spans="3:3" x14ac:dyDescent="0.35">
      <c r="C71">
        <f>EOMONTH(1,1)</f>
        <v>59</v>
      </c>
    </row>
    <row r="72" spans="3:3" x14ac:dyDescent="0.35">
      <c r="C72">
        <f>YEARFRAC(1,1)</f>
        <v>0</v>
      </c>
    </row>
    <row r="73" spans="3:3" x14ac:dyDescent="0.35">
      <c r="C73" t="e">
        <f>COUPDAYBS(1,1,1)</f>
        <v>#NUM!</v>
      </c>
    </row>
    <row r="74" spans="3:3" x14ac:dyDescent="0.35">
      <c r="C74" t="e">
        <f>COUPDAYS(1,1,1)</f>
        <v>#NUM!</v>
      </c>
    </row>
    <row r="75" spans="3:3" x14ac:dyDescent="0.35">
      <c r="C75" t="e">
        <f>COUPDAYSNC(1,1,1)</f>
        <v>#NUM!</v>
      </c>
    </row>
    <row r="76" spans="3:3" x14ac:dyDescent="0.35">
      <c r="C76" t="e">
        <f>COUPNCD(1,1,1)</f>
        <v>#NUM!</v>
      </c>
    </row>
    <row r="77" spans="3:3" x14ac:dyDescent="0.35">
      <c r="C77" t="e">
        <f>COUPNUM(1,1,1)</f>
        <v>#NUM!</v>
      </c>
    </row>
    <row r="78" spans="3:3" x14ac:dyDescent="0.35">
      <c r="C78" t="e">
        <f>COUPPCD(1,1,1)</f>
        <v>#NUM!</v>
      </c>
    </row>
    <row r="79" spans="3:3" x14ac:dyDescent="0.35">
      <c r="C79" t="e">
        <f>DURATION(1,1,1,1,1)</f>
        <v>#NUM!</v>
      </c>
    </row>
    <row r="80" spans="3:3" x14ac:dyDescent="0.35">
      <c r="C80" t="e">
        <f>MDURATION(1,1,1,1,1)</f>
        <v>#NUM!</v>
      </c>
    </row>
    <row r="81" spans="3:3" x14ac:dyDescent="0.35">
      <c r="C81" t="e">
        <f>ODDLPRICE(1,1,1,1,1,1,1)</f>
        <v>#NUM!</v>
      </c>
    </row>
    <row r="82" spans="3:3" x14ac:dyDescent="0.35">
      <c r="C82" t="e">
        <f>ODDLYIELD(1,1,1,1,1,1,1)</f>
        <v>#NUM!</v>
      </c>
    </row>
    <row r="83" spans="3:3" x14ac:dyDescent="0.35">
      <c r="C83" t="e">
        <f>ODDFPRICE(1,1,1,1,1,1,1,1)</f>
        <v>#NUM!</v>
      </c>
    </row>
    <row r="84" spans="3:3" x14ac:dyDescent="0.35">
      <c r="C84" t="e">
        <f>ODDFYIELD(1,1,1,1,1,1,1,1)</f>
        <v>#NUM!</v>
      </c>
    </row>
    <row r="85" spans="3:3" x14ac:dyDescent="0.35">
      <c r="C85">
        <f ca="1">RANDBETWEEN(1,1)</f>
        <v>1</v>
      </c>
    </row>
    <row r="86" spans="3:3" x14ac:dyDescent="0.35">
      <c r="C86">
        <f>WEEKNUM(1)</f>
        <v>1</v>
      </c>
    </row>
    <row r="87" spans="3:3" x14ac:dyDescent="0.35">
      <c r="C87" t="e">
        <f>AMORDEGRC(1,1,1,1,1,1)</f>
        <v>#NUM!</v>
      </c>
    </row>
    <row r="88" spans="3:3" x14ac:dyDescent="0.35">
      <c r="C88">
        <f>AMORLINC(1,1,1,1,1,1)</f>
        <v>0</v>
      </c>
    </row>
    <row r="89" spans="3:3" x14ac:dyDescent="0.35">
      <c r="C89" t="e">
        <f>CONVERT(1,1,1)</f>
        <v>#N/A</v>
      </c>
    </row>
    <row r="90" spans="3:3" x14ac:dyDescent="0.35">
      <c r="C90" t="e">
        <f>ACCRINT(1,1,1,1,1,1)</f>
        <v>#NUM!</v>
      </c>
    </row>
    <row r="91" spans="3:3" x14ac:dyDescent="0.35">
      <c r="C91">
        <f>ACCRINTM(1,1,1,1)</f>
        <v>0</v>
      </c>
    </row>
    <row r="92" spans="3:3" x14ac:dyDescent="0.35">
      <c r="C92">
        <f>WORKDAY(1,1)</f>
        <v>2</v>
      </c>
    </row>
    <row r="93" spans="3:3" x14ac:dyDescent="0.35">
      <c r="C93">
        <f>NETWORKDAYS(1,1)</f>
        <v>0</v>
      </c>
    </row>
    <row r="94" spans="3:3" x14ac:dyDescent="0.35">
      <c r="C94">
        <f>GCD(1)</f>
        <v>1</v>
      </c>
    </row>
    <row r="95" spans="3:3" x14ac:dyDescent="0.35">
      <c r="C95">
        <f>MULTINOMIAL(1)</f>
        <v>1</v>
      </c>
    </row>
    <row r="96" spans="3:3" x14ac:dyDescent="0.35">
      <c r="C96">
        <f>LCM(1)</f>
        <v>1</v>
      </c>
    </row>
    <row r="97" spans="3:3" x14ac:dyDescent="0.35">
      <c r="C97">
        <f>FVSCHEDULE(1,1)</f>
        <v>2</v>
      </c>
    </row>
    <row r="98" spans="3:3" x14ac:dyDescent="0.35">
      <c r="C98" t="e">
        <f>CUBEKPIMEMBER(1,1,1)</f>
        <v>#N/A</v>
      </c>
    </row>
    <row r="99" spans="3:3" x14ac:dyDescent="0.35">
      <c r="C99" t="e">
        <f>CUBESET(1,1)</f>
        <v>#N/A</v>
      </c>
    </row>
    <row r="100" spans="3:3" x14ac:dyDescent="0.35">
      <c r="C100" t="e">
        <f>CUBESETCOUNT(1)</f>
        <v>#N/A</v>
      </c>
    </row>
    <row r="101" spans="3:3" x14ac:dyDescent="0.35">
      <c r="C101">
        <f>IFERROR(A1/0,0)</f>
        <v>0</v>
      </c>
    </row>
    <row r="102" spans="3:3" x14ac:dyDescent="0.35">
      <c r="C102">
        <f>COUNTIFS(A1:A5,1)</f>
        <v>1</v>
      </c>
    </row>
    <row r="103" spans="3:3" x14ac:dyDescent="0.35">
      <c r="C103">
        <f>SUMIFS(A1:A5,A1:A5,1)</f>
        <v>1</v>
      </c>
    </row>
    <row r="104" spans="3:3" x14ac:dyDescent="0.35">
      <c r="C104">
        <f>AVERAGEIF(A1:A5,1)</f>
        <v>1</v>
      </c>
    </row>
    <row r="105" spans="3:3" x14ac:dyDescent="0.35">
      <c r="C105">
        <f>AVERAGEIFS(A1:A5,A1:A5,1)</f>
        <v>1</v>
      </c>
    </row>
    <row r="106" spans="3:3" x14ac:dyDescent="0.35">
      <c r="C106">
        <f>WEEKNUM(A1,2)</f>
        <v>1</v>
      </c>
    </row>
    <row r="107" spans="3:3" x14ac:dyDescent="0.35">
      <c r="C107">
        <f>GCD(A1:A5,12)</f>
        <v>1</v>
      </c>
    </row>
    <row r="108" spans="3:3" x14ac:dyDescent="0.35">
      <c r="C108">
        <f>COUNTIFS(A1:A5,"&gt;1",A1:A5,"&lt;5")</f>
        <v>3</v>
      </c>
    </row>
    <row r="109" spans="3:3" x14ac:dyDescent="0.35">
      <c r="C109">
        <f>AVERAGEIF(A1:A5,"&gt;1",A1:A5)</f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2026-09-11T23:25:40Z</dcterms:created>
  <dcterms:modified xsi:type="dcterms:W3CDTF">2026-09-11T23:25:42Z</dcterms:modified>
</cp:coreProperties>
</file>